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es\Downloads\"/>
    </mc:Choice>
  </mc:AlternateContent>
  <xr:revisionPtr revIDLastSave="0" documentId="13_ncr:1_{FF7CDF2D-E41B-4151-B80D-C33B0BC97B3A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Q1_Covariance" sheetId="1" r:id="rId1"/>
    <sheet name="Q2_EquiFrequency_Binning" sheetId="2" r:id="rId2"/>
    <sheet name="Q3_EqualWidth_Binning" sheetId="3" r:id="rId3"/>
    <sheet name="Q4_BinMedians" sheetId="4" r:id="rId4"/>
    <sheet name="Q5_Standardiz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0" i="3" l="1"/>
  <c r="G28" i="3"/>
  <c r="G27" i="3"/>
  <c r="C15" i="5"/>
  <c r="B14" i="5"/>
  <c r="C6" i="5"/>
  <c r="B24" i="4"/>
  <c r="E18" i="4"/>
  <c r="B29" i="4" s="1"/>
  <c r="E17" i="4"/>
  <c r="B28" i="4" s="1"/>
  <c r="E16" i="4"/>
  <c r="B27" i="4" s="1"/>
  <c r="E15" i="4"/>
  <c r="B26" i="4" s="1"/>
  <c r="E14" i="4"/>
  <c r="B25" i="4" s="1"/>
  <c r="E13" i="4"/>
  <c r="E12" i="4"/>
  <c r="B23" i="4" s="1"/>
  <c r="E11" i="4"/>
  <c r="B22" i="4" s="1"/>
  <c r="E10" i="4"/>
  <c r="B21" i="4" s="1"/>
  <c r="B12" i="3"/>
  <c r="B13" i="3" s="1"/>
  <c r="B15" i="3" s="1"/>
  <c r="B11" i="3"/>
  <c r="B19" i="3" s="1"/>
  <c r="B25" i="2"/>
  <c r="B24" i="2"/>
  <c r="B20" i="2"/>
  <c r="B19" i="2"/>
  <c r="E13" i="2"/>
  <c r="E12" i="2"/>
  <c r="E11" i="2"/>
  <c r="B23" i="2" s="1"/>
  <c r="E10" i="2"/>
  <c r="B22" i="2" s="1"/>
  <c r="E9" i="2"/>
  <c r="B21" i="2" s="1"/>
  <c r="E8" i="2"/>
  <c r="E7" i="2"/>
  <c r="E6" i="2"/>
  <c r="B18" i="2" s="1"/>
  <c r="E5" i="2"/>
  <c r="B17" i="2" s="1"/>
  <c r="F17" i="1"/>
  <c r="B12" i="1"/>
  <c r="C10" i="1"/>
  <c r="E7" i="1" s="1"/>
  <c r="C9" i="1"/>
  <c r="B9" i="1"/>
  <c r="B10" i="1" s="1"/>
  <c r="E5" i="1"/>
  <c r="F18" i="1" l="1"/>
  <c r="D7" i="1"/>
  <c r="F7" i="1" s="1"/>
  <c r="D6" i="1"/>
  <c r="F6" i="1" s="1"/>
  <c r="D5" i="1"/>
  <c r="F5" i="1" s="1"/>
  <c r="D4" i="1"/>
  <c r="C42" i="3"/>
  <c r="C19" i="3"/>
  <c r="B20" i="3" s="1"/>
  <c r="C20" i="3" s="1"/>
  <c r="B21" i="3" s="1"/>
  <c r="C21" i="3" s="1"/>
  <c r="B22" i="3" s="1"/>
  <c r="C22" i="3" s="1"/>
  <c r="C7" i="5"/>
  <c r="C8" i="5"/>
  <c r="E4" i="1"/>
  <c r="C9" i="5"/>
  <c r="C10" i="5"/>
  <c r="C11" i="5"/>
  <c r="C4" i="5"/>
  <c r="C12" i="5"/>
  <c r="C13" i="5"/>
  <c r="C5" i="5"/>
  <c r="E6" i="1"/>
  <c r="C39" i="3" l="1"/>
  <c r="C34" i="3"/>
  <c r="C28" i="3"/>
  <c r="C40" i="3"/>
  <c r="C32" i="3"/>
  <c r="C44" i="3"/>
  <c r="C31" i="3"/>
  <c r="C35" i="3"/>
  <c r="C36" i="3"/>
  <c r="F4" i="1"/>
  <c r="F9" i="1" s="1"/>
  <c r="C29" i="3"/>
  <c r="D42" i="3"/>
  <c r="E42" i="3"/>
  <c r="C27" i="3"/>
  <c r="C14" i="5"/>
  <c r="C16" i="5" s="1"/>
  <c r="C33" i="3"/>
  <c r="C38" i="3"/>
  <c r="C37" i="3"/>
  <c r="C43" i="3"/>
  <c r="C41" i="3"/>
  <c r="C30" i="3"/>
  <c r="E36" i="3" l="1"/>
  <c r="D36" i="3"/>
  <c r="D44" i="3"/>
  <c r="E44" i="3"/>
  <c r="G42" i="3"/>
  <c r="F42" i="3"/>
  <c r="D30" i="3"/>
  <c r="E30" i="3"/>
  <c r="E37" i="3"/>
  <c r="D37" i="3"/>
  <c r="E38" i="3"/>
  <c r="D38" i="3"/>
  <c r="D32" i="3"/>
  <c r="E32" i="3"/>
  <c r="E40" i="3"/>
  <c r="D40" i="3"/>
  <c r="E41" i="3"/>
  <c r="D41" i="3"/>
  <c r="E33" i="3"/>
  <c r="D33" i="3"/>
  <c r="D6" i="5"/>
  <c r="D7" i="5"/>
  <c r="D4" i="5"/>
  <c r="D5" i="5"/>
  <c r="E28" i="3"/>
  <c r="D28" i="3"/>
  <c r="F16" i="1"/>
  <c r="F15" i="1"/>
  <c r="C20" i="1" s="1"/>
  <c r="D13" i="1"/>
  <c r="E31" i="3"/>
  <c r="D31" i="3"/>
  <c r="E27" i="3"/>
  <c r="D27" i="3"/>
  <c r="E34" i="3"/>
  <c r="D34" i="3"/>
  <c r="E29" i="3"/>
  <c r="D29" i="3"/>
  <c r="E35" i="3"/>
  <c r="D35" i="3"/>
  <c r="E43" i="3"/>
  <c r="D43" i="3"/>
  <c r="E39" i="3"/>
  <c r="D39" i="3"/>
  <c r="G38" i="3" l="1"/>
  <c r="F38" i="3"/>
  <c r="G33" i="3"/>
  <c r="F33" i="3"/>
  <c r="G39" i="3"/>
  <c r="F39" i="3"/>
  <c r="G41" i="3"/>
  <c r="F41" i="3"/>
  <c r="G43" i="3"/>
  <c r="F43" i="3"/>
  <c r="F34" i="3"/>
  <c r="G34" i="3"/>
  <c r="F27" i="3"/>
  <c r="G31" i="3"/>
  <c r="F31" i="3"/>
  <c r="G30" i="3"/>
  <c r="F30" i="3"/>
  <c r="G35" i="3"/>
  <c r="F35" i="3"/>
  <c r="G37" i="3"/>
  <c r="F37" i="3"/>
  <c r="F40" i="3"/>
  <c r="F44" i="3"/>
  <c r="G44" i="3"/>
  <c r="F28" i="3"/>
  <c r="G36" i="3"/>
  <c r="F36" i="3"/>
  <c r="G29" i="3"/>
  <c r="F29" i="3"/>
  <c r="F32" i="3"/>
  <c r="G32" i="3"/>
</calcChain>
</file>

<file path=xl/sharedStrings.xml><?xml version="1.0" encoding="utf-8"?>
<sst xmlns="http://schemas.openxmlformats.org/spreadsheetml/2006/main" count="121" uniqueCount="81">
  <si>
    <t>Q1. Covariance Analysis - Premium Increase vs Claim Frequency</t>
  </si>
  <si>
    <t>i</t>
  </si>
  <si>
    <t>Premium Increase % (xi)</t>
  </si>
  <si>
    <t>Claims per 100 (yi)</t>
  </si>
  <si>
    <t>xi - mean(x)</t>
  </si>
  <si>
    <t>yi - mean(y)</t>
  </si>
  <si>
    <t>(xi-mean x)*(yi-mean y)</t>
  </si>
  <si>
    <t>Sum</t>
  </si>
  <si>
    <t>Mean</t>
  </si>
  <si>
    <t>n =</t>
  </si>
  <si>
    <t>Sum of products =</t>
  </si>
  <si>
    <t>Population Covariance, Cov(x,y) = Sum[(xi-x̄)(yi-ȳ)] / n</t>
  </si>
  <si>
    <t>Sample Covariance, Cov(x,y) = Sum[(xi-x̄)(yi-ȳ)] / (n-1)</t>
  </si>
  <si>
    <t>Excel check (COVAR - population covariance) =</t>
  </si>
  <si>
    <t>Excel check (Sample covariance via SUMPRODUCT) =</t>
  </si>
  <si>
    <t>Conclusion:</t>
  </si>
  <si>
    <t>Q2. Data Smoothing using Equal-Frequency (Equi-Depth) Binning - Systolic BP</t>
  </si>
  <si>
    <t>Bin #</t>
  </si>
  <si>
    <t>Value 1</t>
  </si>
  <si>
    <t>Value 2</t>
  </si>
  <si>
    <t>Value 3</t>
  </si>
  <si>
    <t>Bin Mean (Smoothed Value)</t>
  </si>
  <si>
    <t>Bin 1</t>
  </si>
  <si>
    <t>Bin 2</t>
  </si>
  <si>
    <t>Bin 3</t>
  </si>
  <si>
    <t>Bin 4</t>
  </si>
  <si>
    <t>Bin 5</t>
  </si>
  <si>
    <t>Bin 6</t>
  </si>
  <si>
    <t>Bin 7</t>
  </si>
  <si>
    <t>Bin 8</t>
  </si>
  <si>
    <t>Bin 9</t>
  </si>
  <si>
    <t>Smoothed data set (each original value replaced by its bin mean):</t>
  </si>
  <si>
    <t>Bin</t>
  </si>
  <si>
    <t>Original Values -&gt; Smoothed to Bin Mean</t>
  </si>
  <si>
    <t>Q3. Equal-Width Binning (Smoothing by Bin Boundaries) - Client BMI</t>
  </si>
  <si>
    <t>Sorted BMI Data (n=18):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</si>
  <si>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</si>
  <si>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</si>
  <si>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</si>
  <si>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</si>
  <si>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</si>
  <si>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</si>
  <si>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</si>
  <si>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</si>
  <si>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</si>
  <si>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</si>
  <si>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</si>
  <si>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</si>
  <si>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</si>
  <si>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</si>
  <si>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</si>
  <si>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</si>
  <si>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</si>
  <si>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</si>
  <si>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Min (x_min) =</t>
  </si>
  <si>
    <t>Max (x_max) =</t>
  </si>
  <si>
    <t>Range =</t>
  </si>
  <si>
    <t>Number of bins (k) =</t>
  </si>
  <si>
    <t>Bin width = Range / k =</t>
  </si>
  <si>
    <t>Lower Boundary</t>
  </si>
  <si>
    <t>Upper Boundary</t>
  </si>
  <si>
    <t>Smoothing by Bin Boundaries (each value replaced by nearer boundary)</t>
  </si>
  <si>
    <t>BMI (xi)</t>
  </si>
  <si>
    <t>Lower Bdry</t>
  </si>
  <si>
    <t>Upper Bdry</t>
  </si>
  <si>
    <t>Dist to Lower / Upper</t>
  </si>
  <si>
    <t>Smoothed Value</t>
  </si>
  <si>
    <t>Q4. Data Reduction using Bin Medians - Medical Supply Costs (Rs)</t>
  </si>
  <si>
    <t>Sorted Cost Data (n=27):</t>
  </si>
  <si>
    <t>120, 140, 145, 145, 148, 150, 150, 150, 155</t>
  </si>
  <si>
    <t>155, 155, 155, 160, 160, 165, 170, 170, 175</t>
  </si>
  <si>
    <t>175, 175, 175, 180, 190, 200, 210, 230, 300</t>
  </si>
  <si>
    <t>Bin Median (Smoothed Value)</t>
  </si>
  <si>
    <t>Smoothed data set (each original value replaced by its bin median):</t>
  </si>
  <si>
    <t>Q5. Standardization of Patient Age Data</t>
  </si>
  <si>
    <t>Age (xi)</t>
  </si>
  <si>
    <t>|xi - mean|</t>
  </si>
  <si>
    <t>z-score = (xi-mean)/MAD</t>
  </si>
  <si>
    <t>(a) Mean, mean(x) =</t>
  </si>
  <si>
    <t>(a) Mean Absolute Deviation, MAD = Sum|xi-mean| / n =</t>
  </si>
  <si>
    <t>(b) Z-scores for first 4 observations (see column D above, rows 4-7):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</si>
</sst>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opLeftCell="A9" zoomScaleNormal="100" workbookViewId="0">
      <selection activeCell="E27" sqref="E27"/>
    </sheetView>
  </sheetViews>
  <sheetFormatPr defaultColWidth="8.7109375" defaultRowHeight="15" x14ac:dyDescent="0.25"/>
  <cols>
    <col min="1" max="1" width="12.85546875" customWidth="1"/>
    <col min="2" max="2" width="20.85546875" customWidth="1"/>
    <col min="3" max="5" width="16" customWidth="1"/>
    <col min="6" max="6" width="23.5703125" customWidth="1"/>
  </cols>
  <sheetData>
    <row r="1" spans="1:6" ht="24" customHeight="1" x14ac:dyDescent="0.25">
      <c r="A1" s="5" t="s">
        <v>0</v>
      </c>
      <c r="B1" s="5"/>
      <c r="C1" s="5"/>
      <c r="D1" s="5"/>
      <c r="E1" s="5"/>
      <c r="F1" s="5"/>
    </row>
    <row r="3" spans="1:6" ht="30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x14ac:dyDescent="0.25">
      <c r="A4" s="7">
        <v>1</v>
      </c>
      <c r="B4" s="8">
        <v>3.2</v>
      </c>
      <c r="C4" s="9">
        <v>15</v>
      </c>
      <c r="D4" s="10">
        <f>B4-$B$10</f>
        <v>-1.1749999999999998</v>
      </c>
      <c r="E4" s="10">
        <f>C4-$C$10</f>
        <v>-4.5</v>
      </c>
      <c r="F4" s="11">
        <f>D4*E4</f>
        <v>5.2874999999999996</v>
      </c>
    </row>
    <row r="5" spans="1:6" x14ac:dyDescent="0.25">
      <c r="A5" s="7">
        <v>2</v>
      </c>
      <c r="B5" s="8">
        <v>4</v>
      </c>
      <c r="C5" s="9">
        <v>18</v>
      </c>
      <c r="D5" s="10">
        <f>B5-$B$10</f>
        <v>-0.375</v>
      </c>
      <c r="E5" s="10">
        <f>C5-$C$10</f>
        <v>-1.5</v>
      </c>
      <c r="F5" s="11">
        <f>D5*E5</f>
        <v>0.5625</v>
      </c>
    </row>
    <row r="6" spans="1:6" x14ac:dyDescent="0.25">
      <c r="A6" s="7">
        <v>3</v>
      </c>
      <c r="B6" s="8">
        <v>5.5</v>
      </c>
      <c r="C6" s="9">
        <v>25</v>
      </c>
      <c r="D6" s="10">
        <f>B6-$B$10</f>
        <v>1.125</v>
      </c>
      <c r="E6" s="10">
        <f>C6-$C$10</f>
        <v>5.5</v>
      </c>
      <c r="F6" s="11">
        <f>D6*E6</f>
        <v>6.1875</v>
      </c>
    </row>
    <row r="7" spans="1:6" x14ac:dyDescent="0.25">
      <c r="A7" s="7">
        <v>4</v>
      </c>
      <c r="B7" s="8">
        <v>4.8</v>
      </c>
      <c r="C7" s="9">
        <v>20</v>
      </c>
      <c r="D7" s="10">
        <f>B7-$B$10</f>
        <v>0.42499999999999982</v>
      </c>
      <c r="E7" s="10">
        <f>C7-$C$10</f>
        <v>0.5</v>
      </c>
      <c r="F7" s="11">
        <f>D7*E7</f>
        <v>0.21249999999999991</v>
      </c>
    </row>
    <row r="9" spans="1:6" x14ac:dyDescent="0.25">
      <c r="A9" s="12" t="s">
        <v>7</v>
      </c>
      <c r="B9" s="13">
        <f>SUM(B4:B7)</f>
        <v>17.5</v>
      </c>
      <c r="C9" s="13">
        <f>SUM(C4:C7)</f>
        <v>78</v>
      </c>
      <c r="F9" s="14">
        <f>SUM(F4:F7)</f>
        <v>12.25</v>
      </c>
    </row>
    <row r="10" spans="1:6" x14ac:dyDescent="0.25">
      <c r="A10" s="12" t="s">
        <v>8</v>
      </c>
      <c r="B10" s="15">
        <f>B9/COUNT(B4:B7)</f>
        <v>4.375</v>
      </c>
      <c r="C10" s="15">
        <f>C9/COUNT(C4:C7)</f>
        <v>19.5</v>
      </c>
    </row>
    <row r="12" spans="1:6" x14ac:dyDescent="0.25">
      <c r="A12" s="12" t="s">
        <v>9</v>
      </c>
      <c r="B12" s="16">
        <f>COUNT(B4:B7)</f>
        <v>4</v>
      </c>
    </row>
    <row r="13" spans="1:6" x14ac:dyDescent="0.25">
      <c r="A13" s="4" t="s">
        <v>10</v>
      </c>
      <c r="B13" s="4"/>
      <c r="C13" s="4"/>
      <c r="D13" s="14">
        <f>F9</f>
        <v>12.25</v>
      </c>
    </row>
    <row r="15" spans="1:6" x14ac:dyDescent="0.25">
      <c r="A15" s="4" t="s">
        <v>11</v>
      </c>
      <c r="B15" s="4"/>
      <c r="C15" s="4"/>
      <c r="D15" s="4"/>
      <c r="E15" s="4"/>
      <c r="F15" s="17">
        <f>F9/B12</f>
        <v>3.0625</v>
      </c>
    </row>
    <row r="16" spans="1:6" x14ac:dyDescent="0.25">
      <c r="A16" s="4" t="s">
        <v>12</v>
      </c>
      <c r="B16" s="4"/>
      <c r="C16" s="4"/>
      <c r="D16" s="4"/>
      <c r="E16" s="4"/>
      <c r="F16" s="17">
        <f>F9/(B12-1)</f>
        <v>4.083333333333333</v>
      </c>
    </row>
    <row r="17" spans="1:6" x14ac:dyDescent="0.25">
      <c r="A17" s="3" t="s">
        <v>13</v>
      </c>
      <c r="B17" s="3"/>
      <c r="C17" s="3"/>
      <c r="D17" s="3"/>
      <c r="E17" s="3"/>
      <c r="F17" s="11">
        <f>COVAR(B4:B7,C4:C7)</f>
        <v>3.0625</v>
      </c>
    </row>
    <row r="18" spans="1:6" x14ac:dyDescent="0.25">
      <c r="A18" s="3" t="s">
        <v>14</v>
      </c>
      <c r="B18" s="3"/>
      <c r="C18" s="3"/>
      <c r="D18" s="3"/>
      <c r="E18" s="3"/>
      <c r="F18" s="11">
        <f>SUMPRODUCT(B4:B7-B10,C4:C7-C10)/(B12-1)</f>
        <v>4.083333333333333</v>
      </c>
    </row>
    <row r="20" spans="1:6" ht="30" customHeight="1" x14ac:dyDescent="0.25">
      <c r="A20" s="4" t="s">
        <v>15</v>
      </c>
      <c r="B20" s="4"/>
      <c r="C20" s="2" t="str">
        <f>IF(F15&gt;0,"POSITIVE relationship: as premium increase % rises, claims per 100 policyholders also rises.",IF(F15&lt;0,"INVERSE relationship","No relationship (zero covariance)"))</f>
        <v>POSITIVE relationship: as premium increase % rises, claims per 100 policyholders also rises.</v>
      </c>
      <c r="D20" s="2"/>
      <c r="E20" s="2"/>
      <c r="F20" s="2"/>
    </row>
    <row r="22" spans="1:6" ht="30" customHeight="1" x14ac:dyDescent="0.25">
      <c r="A22" s="28"/>
      <c r="B22" s="28"/>
      <c r="C22" s="28"/>
      <c r="D22" s="28"/>
      <c r="E22" s="28"/>
      <c r="F22" s="28"/>
    </row>
  </sheetData>
  <mergeCells count="9">
    <mergeCell ref="A18:E18"/>
    <mergeCell ref="A20:B20"/>
    <mergeCell ref="C20:F20"/>
    <mergeCell ref="A22:F22"/>
    <mergeCell ref="A1:F1"/>
    <mergeCell ref="A13:C13"/>
    <mergeCell ref="A15:E15"/>
    <mergeCell ref="A16:E16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zoomScaleNormal="100" workbookViewId="0">
      <selection activeCell="I8" sqref="I8"/>
    </sheetView>
  </sheetViews>
  <sheetFormatPr defaultColWidth="8.7109375" defaultRowHeight="15" x14ac:dyDescent="0.25"/>
  <cols>
    <col min="1" max="1" width="15.28515625" customWidth="1"/>
    <col min="2" max="2" width="16.28515625" customWidth="1"/>
    <col min="3" max="3" width="16" customWidth="1"/>
    <col min="4" max="4" width="19.85546875" customWidth="1"/>
    <col min="5" max="5" width="55" customWidth="1"/>
  </cols>
  <sheetData>
    <row r="1" spans="1:5" ht="24" customHeight="1" x14ac:dyDescent="0.25">
      <c r="A1" s="5" t="s">
        <v>16</v>
      </c>
      <c r="B1" s="5"/>
      <c r="C1" s="5"/>
      <c r="D1" s="5"/>
      <c r="E1" s="5"/>
    </row>
    <row r="2" spans="1:5" ht="30" customHeight="1" x14ac:dyDescent="0.25">
      <c r="A2" s="28"/>
      <c r="B2" s="28"/>
      <c r="C2" s="28"/>
      <c r="D2" s="28"/>
      <c r="E2" s="28"/>
    </row>
    <row r="4" spans="1:5" x14ac:dyDescent="0.25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</row>
    <row r="5" spans="1:5" x14ac:dyDescent="0.25">
      <c r="A5" s="19" t="s">
        <v>22</v>
      </c>
      <c r="B5" s="7">
        <v>110</v>
      </c>
      <c r="C5" s="7">
        <v>112</v>
      </c>
      <c r="D5" s="7">
        <v>115</v>
      </c>
      <c r="E5" s="20">
        <f t="shared" ref="E5:E13" si="0">AVERAGE(B5:D5)</f>
        <v>112.33333333333333</v>
      </c>
    </row>
    <row r="6" spans="1:5" x14ac:dyDescent="0.25">
      <c r="A6" s="19" t="s">
        <v>23</v>
      </c>
      <c r="B6" s="7">
        <v>115</v>
      </c>
      <c r="C6" s="7">
        <v>118</v>
      </c>
      <c r="D6" s="7">
        <v>120</v>
      </c>
      <c r="E6" s="20">
        <f t="shared" si="0"/>
        <v>117.66666666666667</v>
      </c>
    </row>
    <row r="7" spans="1:5" x14ac:dyDescent="0.25">
      <c r="A7" s="19" t="s">
        <v>24</v>
      </c>
      <c r="B7" s="7">
        <v>120</v>
      </c>
      <c r="C7" s="7">
        <v>122</v>
      </c>
      <c r="D7" s="7">
        <v>124</v>
      </c>
      <c r="E7" s="20">
        <f t="shared" si="0"/>
        <v>122</v>
      </c>
    </row>
    <row r="8" spans="1:5" x14ac:dyDescent="0.25">
      <c r="A8" s="19" t="s">
        <v>25</v>
      </c>
      <c r="B8" s="7">
        <v>124</v>
      </c>
      <c r="C8" s="7">
        <v>126</v>
      </c>
      <c r="D8" s="7">
        <v>126</v>
      </c>
      <c r="E8" s="20">
        <f t="shared" si="0"/>
        <v>125.33333333333333</v>
      </c>
    </row>
    <row r="9" spans="1:5" x14ac:dyDescent="0.25">
      <c r="A9" s="19" t="s">
        <v>26</v>
      </c>
      <c r="B9" s="7">
        <v>126</v>
      </c>
      <c r="C9" s="7">
        <v>126</v>
      </c>
      <c r="D9" s="7">
        <v>130</v>
      </c>
      <c r="E9" s="20">
        <f t="shared" si="0"/>
        <v>127.33333333333333</v>
      </c>
    </row>
    <row r="10" spans="1:5" x14ac:dyDescent="0.25">
      <c r="A10" s="19" t="s">
        <v>27</v>
      </c>
      <c r="B10" s="7">
        <v>135</v>
      </c>
      <c r="C10" s="7">
        <v>135</v>
      </c>
      <c r="D10" s="7">
        <v>138</v>
      </c>
      <c r="E10" s="20">
        <f t="shared" si="0"/>
        <v>136</v>
      </c>
    </row>
    <row r="11" spans="1:5" x14ac:dyDescent="0.25">
      <c r="A11" s="19" t="s">
        <v>28</v>
      </c>
      <c r="B11" s="7">
        <v>138</v>
      </c>
      <c r="C11" s="7">
        <v>138</v>
      </c>
      <c r="D11" s="7">
        <v>138</v>
      </c>
      <c r="E11" s="20">
        <f t="shared" si="0"/>
        <v>138</v>
      </c>
    </row>
    <row r="12" spans="1:5" x14ac:dyDescent="0.25">
      <c r="A12" s="19" t="s">
        <v>29</v>
      </c>
      <c r="B12" s="7">
        <v>140</v>
      </c>
      <c r="C12" s="7">
        <v>145</v>
      </c>
      <c r="D12" s="7">
        <v>150</v>
      </c>
      <c r="E12" s="20">
        <f t="shared" si="0"/>
        <v>145</v>
      </c>
    </row>
    <row r="13" spans="1:5" x14ac:dyDescent="0.25">
      <c r="A13" s="19" t="s">
        <v>30</v>
      </c>
      <c r="B13" s="7">
        <v>152</v>
      </c>
      <c r="C13" s="7">
        <v>160</v>
      </c>
      <c r="D13" s="7">
        <v>180</v>
      </c>
      <c r="E13" s="20">
        <f t="shared" si="0"/>
        <v>164</v>
      </c>
    </row>
    <row r="15" spans="1:5" ht="18" customHeight="1" x14ac:dyDescent="0.25">
      <c r="A15" s="4" t="s">
        <v>31</v>
      </c>
      <c r="B15" s="4"/>
      <c r="C15" s="4"/>
      <c r="D15" s="4"/>
      <c r="E15" s="4"/>
    </row>
    <row r="16" spans="1:5" x14ac:dyDescent="0.25">
      <c r="A16" s="21" t="s">
        <v>32</v>
      </c>
      <c r="B16" s="1" t="s">
        <v>33</v>
      </c>
      <c r="C16" s="1"/>
      <c r="D16" s="1"/>
      <c r="E16" s="1"/>
    </row>
    <row r="17" spans="1:5" x14ac:dyDescent="0.25">
      <c r="A17" s="22" t="s">
        <v>22</v>
      </c>
      <c r="B17" s="3" t="str">
        <f t="shared" ref="B17:B25" si="1">B5&amp;", "&amp;C5&amp;", "&amp;D5&amp;"  -&gt;  all become "&amp;TEXT(E5,"0.00")</f>
        <v>110, 112, 115  -&gt;  all become 112.33</v>
      </c>
      <c r="C17" s="3"/>
      <c r="D17" s="3"/>
      <c r="E17" s="3"/>
    </row>
    <row r="18" spans="1:5" x14ac:dyDescent="0.25">
      <c r="A18" s="22" t="s">
        <v>23</v>
      </c>
      <c r="B18" s="3" t="str">
        <f t="shared" si="1"/>
        <v>115, 118, 120  -&gt;  all become 117.67</v>
      </c>
      <c r="C18" s="3"/>
      <c r="D18" s="3"/>
      <c r="E18" s="3"/>
    </row>
    <row r="19" spans="1:5" x14ac:dyDescent="0.25">
      <c r="A19" s="22" t="s">
        <v>24</v>
      </c>
      <c r="B19" s="3" t="str">
        <f t="shared" si="1"/>
        <v>120, 122, 124  -&gt;  all become 122.00</v>
      </c>
      <c r="C19" s="3"/>
      <c r="D19" s="3"/>
      <c r="E19" s="3"/>
    </row>
    <row r="20" spans="1:5" x14ac:dyDescent="0.25">
      <c r="A20" s="22" t="s">
        <v>25</v>
      </c>
      <c r="B20" s="3" t="str">
        <f t="shared" si="1"/>
        <v>124, 126, 126  -&gt;  all become 125.33</v>
      </c>
      <c r="C20" s="3"/>
      <c r="D20" s="3"/>
      <c r="E20" s="3"/>
    </row>
    <row r="21" spans="1:5" x14ac:dyDescent="0.25">
      <c r="A21" s="22" t="s">
        <v>26</v>
      </c>
      <c r="B21" s="3" t="str">
        <f t="shared" si="1"/>
        <v>126, 126, 130  -&gt;  all become 127.33</v>
      </c>
      <c r="C21" s="3"/>
      <c r="D21" s="3"/>
      <c r="E21" s="3"/>
    </row>
    <row r="22" spans="1:5" x14ac:dyDescent="0.25">
      <c r="A22" s="22" t="s">
        <v>27</v>
      </c>
      <c r="B22" s="3" t="str">
        <f t="shared" si="1"/>
        <v>135, 135, 138  -&gt;  all become 136.00</v>
      </c>
      <c r="C22" s="3"/>
      <c r="D22" s="3"/>
      <c r="E22" s="3"/>
    </row>
    <row r="23" spans="1:5" x14ac:dyDescent="0.25">
      <c r="A23" s="22" t="s">
        <v>28</v>
      </c>
      <c r="B23" s="3" t="str">
        <f t="shared" si="1"/>
        <v>138, 138, 138  -&gt;  all become 138.00</v>
      </c>
      <c r="C23" s="3"/>
      <c r="D23" s="3"/>
      <c r="E23" s="3"/>
    </row>
    <row r="24" spans="1:5" x14ac:dyDescent="0.25">
      <c r="A24" s="22" t="s">
        <v>29</v>
      </c>
      <c r="B24" s="3" t="str">
        <f t="shared" si="1"/>
        <v>140, 145, 150  -&gt;  all become 145.00</v>
      </c>
      <c r="C24" s="3"/>
      <c r="D24" s="3"/>
      <c r="E24" s="3"/>
    </row>
    <row r="25" spans="1:5" x14ac:dyDescent="0.25">
      <c r="A25" s="22" t="s">
        <v>30</v>
      </c>
      <c r="B25" s="3" t="str">
        <f t="shared" si="1"/>
        <v>152, 160, 180  -&gt;  all become 164.00</v>
      </c>
      <c r="C25" s="3"/>
      <c r="D25" s="3"/>
      <c r="E25" s="3"/>
    </row>
  </sheetData>
  <mergeCells count="13">
    <mergeCell ref="B23:E23"/>
    <mergeCell ref="B24:E24"/>
    <mergeCell ref="B25:E25"/>
    <mergeCell ref="B18:E18"/>
    <mergeCell ref="B19:E19"/>
    <mergeCell ref="B20:E20"/>
    <mergeCell ref="B21:E21"/>
    <mergeCell ref="B22:E22"/>
    <mergeCell ref="A1:E1"/>
    <mergeCell ref="A2:E2"/>
    <mergeCell ref="A15:E15"/>
    <mergeCell ref="B16:E16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showGridLines="0" topLeftCell="A18" zoomScaleNormal="100" workbookViewId="0">
      <selection activeCell="E50" sqref="E50"/>
    </sheetView>
  </sheetViews>
  <sheetFormatPr defaultColWidth="8.7109375" defaultRowHeight="15" x14ac:dyDescent="0.25"/>
  <cols>
    <col min="1" max="1" width="25.28515625" customWidth="1"/>
    <col min="2" max="2" width="20.140625" customWidth="1"/>
    <col min="3" max="3" width="22" customWidth="1"/>
    <col min="4" max="4" width="20.7109375" customWidth="1"/>
    <col min="5" max="6" width="22" customWidth="1"/>
    <col min="7" max="7" width="40" customWidth="1"/>
  </cols>
  <sheetData>
    <row r="1" spans="1:9" ht="24" customHeight="1" x14ac:dyDescent="0.25">
      <c r="A1" s="5" t="s">
        <v>34</v>
      </c>
      <c r="B1" s="5"/>
      <c r="C1" s="5"/>
      <c r="D1" s="5"/>
      <c r="E1" s="5"/>
      <c r="F1" s="5"/>
      <c r="G1" s="5"/>
    </row>
    <row r="5" spans="1:9" x14ac:dyDescent="0.25">
      <c r="A5" s="4" t="s">
        <v>35</v>
      </c>
      <c r="B5" s="4"/>
      <c r="C5" s="4"/>
      <c r="D5" s="4"/>
      <c r="E5" s="4"/>
      <c r="F5" s="4"/>
      <c r="G5" s="4"/>
    </row>
    <row r="6" spans="1:9" x14ac:dyDescent="0.25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6" t="s">
        <v>44</v>
      </c>
    </row>
    <row r="7" spans="1:9" x14ac:dyDescent="0.25">
      <c r="A7" s="8">
        <v>18.5</v>
      </c>
      <c r="B7" s="8">
        <v>19.2</v>
      </c>
      <c r="C7" s="8">
        <v>21.8</v>
      </c>
      <c r="D7" s="8">
        <v>24.9</v>
      </c>
      <c r="E7" s="8">
        <v>25.5</v>
      </c>
      <c r="F7" s="8">
        <v>26.2</v>
      </c>
      <c r="G7" s="8">
        <v>26.4</v>
      </c>
      <c r="H7" s="8">
        <v>27.8</v>
      </c>
      <c r="I7" s="8">
        <v>29.2</v>
      </c>
    </row>
    <row r="8" spans="1:9" x14ac:dyDescent="0.25">
      <c r="A8" s="6" t="s">
        <v>45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</row>
    <row r="9" spans="1:9" x14ac:dyDescent="0.25">
      <c r="A9" s="8">
        <v>30.2</v>
      </c>
      <c r="B9" s="8">
        <v>30.4</v>
      </c>
      <c r="C9" s="8">
        <v>31.9</v>
      </c>
      <c r="D9" s="8">
        <v>32.4</v>
      </c>
      <c r="E9" s="8">
        <v>33.1</v>
      </c>
      <c r="F9" s="8">
        <v>33.6</v>
      </c>
      <c r="G9" s="8">
        <v>34.700000000000003</v>
      </c>
      <c r="H9" s="8">
        <v>38.200000000000003</v>
      </c>
      <c r="I9" s="8">
        <v>39.5</v>
      </c>
    </row>
    <row r="11" spans="1:9" x14ac:dyDescent="0.25">
      <c r="A11" s="16" t="s">
        <v>54</v>
      </c>
      <c r="B11" s="23">
        <f>MIN(A7:I7,A9:I9)</f>
        <v>18.5</v>
      </c>
    </row>
    <row r="12" spans="1:9" x14ac:dyDescent="0.25">
      <c r="A12" s="16" t="s">
        <v>55</v>
      </c>
      <c r="B12" s="23">
        <f>MAX(A7:I7,A9:I9)</f>
        <v>39.5</v>
      </c>
    </row>
    <row r="13" spans="1:9" x14ac:dyDescent="0.25">
      <c r="A13" s="16" t="s">
        <v>56</v>
      </c>
      <c r="B13" s="23">
        <f>B12-B11</f>
        <v>21</v>
      </c>
    </row>
    <row r="14" spans="1:9" x14ac:dyDescent="0.25">
      <c r="A14" s="16" t="s">
        <v>57</v>
      </c>
      <c r="B14" s="24">
        <v>4</v>
      </c>
    </row>
    <row r="15" spans="1:9" x14ac:dyDescent="0.25">
      <c r="A15" s="16" t="s">
        <v>58</v>
      </c>
      <c r="B15" s="25">
        <f>B13/B14</f>
        <v>5.25</v>
      </c>
    </row>
    <row r="16" spans="1:9" ht="30" customHeight="1" x14ac:dyDescent="0.25">
      <c r="A16" s="28"/>
      <c r="B16" s="28"/>
      <c r="C16" s="28"/>
      <c r="D16" s="28"/>
      <c r="E16" s="28"/>
      <c r="F16" s="28"/>
      <c r="G16" s="28"/>
    </row>
    <row r="18" spans="1:7" ht="30" x14ac:dyDescent="0.25">
      <c r="A18" s="6" t="s">
        <v>17</v>
      </c>
      <c r="B18" s="6" t="s">
        <v>59</v>
      </c>
      <c r="C18" s="6" t="s">
        <v>60</v>
      </c>
    </row>
    <row r="19" spans="1:7" x14ac:dyDescent="0.25">
      <c r="A19" s="19" t="s">
        <v>22</v>
      </c>
      <c r="B19" s="26">
        <f>$B$11</f>
        <v>18.5</v>
      </c>
      <c r="C19" s="26">
        <f>B19+$B$15</f>
        <v>23.75</v>
      </c>
    </row>
    <row r="20" spans="1:7" x14ac:dyDescent="0.25">
      <c r="A20" s="19" t="s">
        <v>23</v>
      </c>
      <c r="B20" s="26">
        <f>C19</f>
        <v>23.75</v>
      </c>
      <c r="C20" s="26">
        <f>B20+$B$15</f>
        <v>29</v>
      </c>
    </row>
    <row r="21" spans="1:7" x14ac:dyDescent="0.25">
      <c r="A21" s="19" t="s">
        <v>24</v>
      </c>
      <c r="B21" s="26">
        <f>C20</f>
        <v>29</v>
      </c>
      <c r="C21" s="26">
        <f>B21+$B$15</f>
        <v>34.25</v>
      </c>
    </row>
    <row r="22" spans="1:7" x14ac:dyDescent="0.25">
      <c r="A22" s="19" t="s">
        <v>25</v>
      </c>
      <c r="B22" s="26">
        <f>C21</f>
        <v>34.25</v>
      </c>
      <c r="C22" s="26">
        <f>B22+$B$15</f>
        <v>39.5</v>
      </c>
    </row>
    <row r="25" spans="1:7" x14ac:dyDescent="0.25">
      <c r="A25" s="4" t="s">
        <v>61</v>
      </c>
      <c r="B25" s="4"/>
      <c r="C25" s="4"/>
      <c r="D25" s="4"/>
      <c r="E25" s="4"/>
      <c r="F25" s="4"/>
      <c r="G25" s="4"/>
    </row>
    <row r="26" spans="1:7" ht="30" x14ac:dyDescent="0.25">
      <c r="A26" s="6" t="s">
        <v>1</v>
      </c>
      <c r="B26" s="6" t="s">
        <v>62</v>
      </c>
      <c r="C26" s="6" t="s">
        <v>17</v>
      </c>
      <c r="D26" s="6" t="s">
        <v>63</v>
      </c>
      <c r="E26" s="6" t="s">
        <v>64</v>
      </c>
      <c r="F26" s="6" t="s">
        <v>65</v>
      </c>
      <c r="G26" s="6" t="s">
        <v>66</v>
      </c>
    </row>
    <row r="27" spans="1:7" x14ac:dyDescent="0.25">
      <c r="A27" s="7">
        <v>1</v>
      </c>
      <c r="B27" s="8">
        <v>18.5</v>
      </c>
      <c r="C27" s="7" t="e">
        <f t="shared" ref="C27:C44" si="0">MATCH(TRUE(),INDEX((B27&gt;=$B$19:$B$22)*(B27&lt;=$C$19:$C$22),0),0)</f>
        <v>#N/A</v>
      </c>
      <c r="D27" s="26" t="e">
        <f t="shared" ref="D27:D44" si="1">INDEX($B$19:$B$22,C27)</f>
        <v>#N/A</v>
      </c>
      <c r="E27" s="26" t="e">
        <f t="shared" ref="E27:E44" si="2">INDEX($C$19:$C$22,C27)</f>
        <v>#N/A</v>
      </c>
      <c r="F27" s="18" t="e">
        <f t="shared" ref="F27:F44" si="3">"Lo: "&amp;TEXT(B27-D27,"0.00")&amp;"  Hi: "&amp;TEXT(E27-B27,"0.00")</f>
        <v>#N/A</v>
      </c>
      <c r="G27" s="20" t="e">
        <f>IF((B27-D27)&lt;=(E27-B27),D27,E27)</f>
        <v>#N/A</v>
      </c>
    </row>
    <row r="28" spans="1:7" x14ac:dyDescent="0.25">
      <c r="A28" s="7">
        <v>2</v>
      </c>
      <c r="B28" s="8">
        <v>19.2</v>
      </c>
      <c r="C28" s="7" t="e">
        <f t="shared" si="0"/>
        <v>#N/A</v>
      </c>
      <c r="D28" s="26" t="e">
        <f t="shared" si="1"/>
        <v>#N/A</v>
      </c>
      <c r="E28" s="26" t="e">
        <f t="shared" si="2"/>
        <v>#N/A</v>
      </c>
      <c r="F28" s="18" t="e">
        <f t="shared" si="3"/>
        <v>#N/A</v>
      </c>
      <c r="G28" s="20" t="e">
        <f>IF((B28-D28)&lt;=(E28-B28),D28,E28)</f>
        <v>#N/A</v>
      </c>
    </row>
    <row r="29" spans="1:7" x14ac:dyDescent="0.25">
      <c r="A29" s="7">
        <v>3</v>
      </c>
      <c r="B29" s="8">
        <v>21.8</v>
      </c>
      <c r="C29" s="7" t="e">
        <f t="shared" si="0"/>
        <v>#N/A</v>
      </c>
      <c r="D29" s="26" t="e">
        <f t="shared" si="1"/>
        <v>#N/A</v>
      </c>
      <c r="E29" s="26" t="e">
        <f t="shared" si="2"/>
        <v>#N/A</v>
      </c>
      <c r="F29" s="18" t="e">
        <f t="shared" si="3"/>
        <v>#N/A</v>
      </c>
      <c r="G29" s="20" t="e">
        <f t="shared" ref="G27:G44" si="4">IF((B29-D29)&lt;=(E29-B29),D29,E29)</f>
        <v>#N/A</v>
      </c>
    </row>
    <row r="30" spans="1:7" x14ac:dyDescent="0.25">
      <c r="A30" s="7">
        <v>4</v>
      </c>
      <c r="B30" s="8">
        <v>24.9</v>
      </c>
      <c r="C30" s="7" t="e">
        <f t="shared" si="0"/>
        <v>#N/A</v>
      </c>
      <c r="D30" s="26" t="e">
        <f t="shared" si="1"/>
        <v>#N/A</v>
      </c>
      <c r="E30" s="26" t="e">
        <f t="shared" si="2"/>
        <v>#N/A</v>
      </c>
      <c r="F30" s="18" t="e">
        <f t="shared" si="3"/>
        <v>#N/A</v>
      </c>
      <c r="G30" s="20" t="e">
        <f t="shared" si="4"/>
        <v>#N/A</v>
      </c>
    </row>
    <row r="31" spans="1:7" x14ac:dyDescent="0.25">
      <c r="A31" s="7">
        <v>5</v>
      </c>
      <c r="B31" s="8">
        <v>25.5</v>
      </c>
      <c r="C31" s="7" t="e">
        <f t="shared" si="0"/>
        <v>#N/A</v>
      </c>
      <c r="D31" s="26" t="e">
        <f t="shared" si="1"/>
        <v>#N/A</v>
      </c>
      <c r="E31" s="26" t="e">
        <f t="shared" si="2"/>
        <v>#N/A</v>
      </c>
      <c r="F31" s="18" t="e">
        <f t="shared" si="3"/>
        <v>#N/A</v>
      </c>
      <c r="G31" s="20" t="e">
        <f t="shared" si="4"/>
        <v>#N/A</v>
      </c>
    </row>
    <row r="32" spans="1:7" x14ac:dyDescent="0.25">
      <c r="A32" s="7">
        <v>6</v>
      </c>
      <c r="B32" s="8">
        <v>26.2</v>
      </c>
      <c r="C32" s="7" t="e">
        <f t="shared" si="0"/>
        <v>#N/A</v>
      </c>
      <c r="D32" s="26" t="e">
        <f t="shared" si="1"/>
        <v>#N/A</v>
      </c>
      <c r="E32" s="26" t="e">
        <f t="shared" si="2"/>
        <v>#N/A</v>
      </c>
      <c r="F32" s="18" t="e">
        <f t="shared" si="3"/>
        <v>#N/A</v>
      </c>
      <c r="G32" s="20" t="e">
        <f t="shared" si="4"/>
        <v>#N/A</v>
      </c>
    </row>
    <row r="33" spans="1:7" x14ac:dyDescent="0.25">
      <c r="A33" s="7">
        <v>7</v>
      </c>
      <c r="B33" s="8">
        <v>26.4</v>
      </c>
      <c r="C33" s="7" t="e">
        <f t="shared" si="0"/>
        <v>#N/A</v>
      </c>
      <c r="D33" s="26" t="e">
        <f t="shared" si="1"/>
        <v>#N/A</v>
      </c>
      <c r="E33" s="26" t="e">
        <f t="shared" si="2"/>
        <v>#N/A</v>
      </c>
      <c r="F33" s="18" t="e">
        <f t="shared" si="3"/>
        <v>#N/A</v>
      </c>
      <c r="G33" s="20" t="e">
        <f t="shared" si="4"/>
        <v>#N/A</v>
      </c>
    </row>
    <row r="34" spans="1:7" x14ac:dyDescent="0.25">
      <c r="A34" s="7">
        <v>8</v>
      </c>
      <c r="B34" s="8">
        <v>27.8</v>
      </c>
      <c r="C34" s="7" t="e">
        <f t="shared" si="0"/>
        <v>#N/A</v>
      </c>
      <c r="D34" s="26" t="e">
        <f t="shared" si="1"/>
        <v>#N/A</v>
      </c>
      <c r="E34" s="26" t="e">
        <f t="shared" si="2"/>
        <v>#N/A</v>
      </c>
      <c r="F34" s="18" t="e">
        <f t="shared" si="3"/>
        <v>#N/A</v>
      </c>
      <c r="G34" s="20" t="e">
        <f t="shared" si="4"/>
        <v>#N/A</v>
      </c>
    </row>
    <row r="35" spans="1:7" x14ac:dyDescent="0.25">
      <c r="A35" s="7">
        <v>9</v>
      </c>
      <c r="B35" s="8">
        <v>29.2</v>
      </c>
      <c r="C35" s="7" t="e">
        <f t="shared" si="0"/>
        <v>#N/A</v>
      </c>
      <c r="D35" s="26" t="e">
        <f t="shared" si="1"/>
        <v>#N/A</v>
      </c>
      <c r="E35" s="26" t="e">
        <f t="shared" si="2"/>
        <v>#N/A</v>
      </c>
      <c r="F35" s="18" t="e">
        <f t="shared" si="3"/>
        <v>#N/A</v>
      </c>
      <c r="G35" s="20" t="e">
        <f t="shared" si="4"/>
        <v>#N/A</v>
      </c>
    </row>
    <row r="36" spans="1:7" x14ac:dyDescent="0.25">
      <c r="A36" s="7">
        <v>10</v>
      </c>
      <c r="B36" s="8">
        <v>30.2</v>
      </c>
      <c r="C36" s="7" t="e">
        <f t="shared" si="0"/>
        <v>#N/A</v>
      </c>
      <c r="D36" s="26" t="e">
        <f t="shared" si="1"/>
        <v>#N/A</v>
      </c>
      <c r="E36" s="26" t="e">
        <f t="shared" si="2"/>
        <v>#N/A</v>
      </c>
      <c r="F36" s="18" t="e">
        <f t="shared" si="3"/>
        <v>#N/A</v>
      </c>
      <c r="G36" s="20" t="e">
        <f t="shared" si="4"/>
        <v>#N/A</v>
      </c>
    </row>
    <row r="37" spans="1:7" x14ac:dyDescent="0.25">
      <c r="A37" s="7">
        <v>11</v>
      </c>
      <c r="B37" s="8">
        <v>30.4</v>
      </c>
      <c r="C37" s="7" t="e">
        <f t="shared" si="0"/>
        <v>#N/A</v>
      </c>
      <c r="D37" s="26" t="e">
        <f t="shared" si="1"/>
        <v>#N/A</v>
      </c>
      <c r="E37" s="26" t="e">
        <f t="shared" si="2"/>
        <v>#N/A</v>
      </c>
      <c r="F37" s="18" t="e">
        <f t="shared" si="3"/>
        <v>#N/A</v>
      </c>
      <c r="G37" s="20" t="e">
        <f t="shared" si="4"/>
        <v>#N/A</v>
      </c>
    </row>
    <row r="38" spans="1:7" x14ac:dyDescent="0.25">
      <c r="A38" s="7">
        <v>12</v>
      </c>
      <c r="B38" s="8">
        <v>31.9</v>
      </c>
      <c r="C38" s="7" t="e">
        <f t="shared" si="0"/>
        <v>#N/A</v>
      </c>
      <c r="D38" s="26" t="e">
        <f t="shared" si="1"/>
        <v>#N/A</v>
      </c>
      <c r="E38" s="26" t="e">
        <f t="shared" si="2"/>
        <v>#N/A</v>
      </c>
      <c r="F38" s="18" t="e">
        <f t="shared" si="3"/>
        <v>#N/A</v>
      </c>
      <c r="G38" s="20" t="e">
        <f t="shared" si="4"/>
        <v>#N/A</v>
      </c>
    </row>
    <row r="39" spans="1:7" x14ac:dyDescent="0.25">
      <c r="A39" s="7">
        <v>13</v>
      </c>
      <c r="B39" s="8">
        <v>32.4</v>
      </c>
      <c r="C39" s="7" t="e">
        <f t="shared" si="0"/>
        <v>#N/A</v>
      </c>
      <c r="D39" s="26" t="e">
        <f t="shared" si="1"/>
        <v>#N/A</v>
      </c>
      <c r="E39" s="26" t="e">
        <f t="shared" si="2"/>
        <v>#N/A</v>
      </c>
      <c r="F39" s="18" t="e">
        <f t="shared" si="3"/>
        <v>#N/A</v>
      </c>
      <c r="G39" s="20" t="e">
        <f t="shared" si="4"/>
        <v>#N/A</v>
      </c>
    </row>
    <row r="40" spans="1:7" x14ac:dyDescent="0.25">
      <c r="A40" s="7">
        <v>14</v>
      </c>
      <c r="B40" s="8">
        <v>33.1</v>
      </c>
      <c r="C40" s="7" t="e">
        <f t="shared" si="0"/>
        <v>#N/A</v>
      </c>
      <c r="D40" s="26" t="e">
        <f t="shared" si="1"/>
        <v>#N/A</v>
      </c>
      <c r="E40" s="26" t="e">
        <f t="shared" si="2"/>
        <v>#N/A</v>
      </c>
      <c r="F40" s="18" t="e">
        <f t="shared" si="3"/>
        <v>#N/A</v>
      </c>
      <c r="G40" s="20" t="e">
        <f>IF((B40-D40)&lt;=(E40-B40),D40,E40)</f>
        <v>#N/A</v>
      </c>
    </row>
    <row r="41" spans="1:7" x14ac:dyDescent="0.25">
      <c r="A41" s="7">
        <v>15</v>
      </c>
      <c r="B41" s="8">
        <v>33.6</v>
      </c>
      <c r="C41" s="7" t="e">
        <f t="shared" si="0"/>
        <v>#N/A</v>
      </c>
      <c r="D41" s="26" t="e">
        <f t="shared" si="1"/>
        <v>#N/A</v>
      </c>
      <c r="E41" s="26" t="e">
        <f t="shared" si="2"/>
        <v>#N/A</v>
      </c>
      <c r="F41" s="18" t="e">
        <f t="shared" si="3"/>
        <v>#N/A</v>
      </c>
      <c r="G41" s="20" t="e">
        <f t="shared" si="4"/>
        <v>#N/A</v>
      </c>
    </row>
    <row r="42" spans="1:7" x14ac:dyDescent="0.25">
      <c r="A42" s="7">
        <v>16</v>
      </c>
      <c r="B42" s="8">
        <v>34.700000000000003</v>
      </c>
      <c r="C42" s="7" t="e">
        <f t="shared" si="0"/>
        <v>#N/A</v>
      </c>
      <c r="D42" s="26" t="e">
        <f t="shared" si="1"/>
        <v>#N/A</v>
      </c>
      <c r="E42" s="26" t="e">
        <f t="shared" si="2"/>
        <v>#N/A</v>
      </c>
      <c r="F42" s="18" t="e">
        <f t="shared" si="3"/>
        <v>#N/A</v>
      </c>
      <c r="G42" s="20" t="e">
        <f t="shared" si="4"/>
        <v>#N/A</v>
      </c>
    </row>
    <row r="43" spans="1:7" x14ac:dyDescent="0.25">
      <c r="A43" s="7">
        <v>17</v>
      </c>
      <c r="B43" s="8">
        <v>38.200000000000003</v>
      </c>
      <c r="C43" s="7" t="e">
        <f t="shared" si="0"/>
        <v>#N/A</v>
      </c>
      <c r="D43" s="26" t="e">
        <f t="shared" si="1"/>
        <v>#N/A</v>
      </c>
      <c r="E43" s="26" t="e">
        <f t="shared" si="2"/>
        <v>#N/A</v>
      </c>
      <c r="F43" s="18" t="e">
        <f t="shared" si="3"/>
        <v>#N/A</v>
      </c>
      <c r="G43" s="20" t="e">
        <f t="shared" si="4"/>
        <v>#N/A</v>
      </c>
    </row>
    <row r="44" spans="1:7" x14ac:dyDescent="0.25">
      <c r="A44" s="7">
        <v>18</v>
      </c>
      <c r="B44" s="8">
        <v>39.5</v>
      </c>
      <c r="C44" s="7" t="e">
        <f t="shared" si="0"/>
        <v>#N/A</v>
      </c>
      <c r="D44" s="26" t="e">
        <f t="shared" si="1"/>
        <v>#N/A</v>
      </c>
      <c r="E44" s="26" t="e">
        <f t="shared" si="2"/>
        <v>#N/A</v>
      </c>
      <c r="F44" s="18" t="e">
        <f t="shared" si="3"/>
        <v>#N/A</v>
      </c>
      <c r="G44" s="20" t="e">
        <f t="shared" si="4"/>
        <v>#N/A</v>
      </c>
    </row>
    <row r="45" spans="1:7" ht="30" customHeight="1" x14ac:dyDescent="0.25">
      <c r="A45" s="28"/>
      <c r="B45" s="28"/>
      <c r="C45" s="28"/>
      <c r="D45" s="28"/>
      <c r="E45" s="28"/>
      <c r="F45" s="28"/>
      <c r="G45" s="28"/>
    </row>
  </sheetData>
  <mergeCells count="5">
    <mergeCell ref="A1:G1"/>
    <mergeCell ref="A5:G5"/>
    <mergeCell ref="A16:G16"/>
    <mergeCell ref="A25:G25"/>
    <mergeCell ref="A45:G4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showGridLines="0" zoomScaleNormal="100" workbookViewId="0">
      <selection activeCell="F7" sqref="F7"/>
    </sheetView>
  </sheetViews>
  <sheetFormatPr defaultColWidth="8.7109375" defaultRowHeight="15" x14ac:dyDescent="0.25"/>
  <cols>
    <col min="1" max="1" width="13.85546875" customWidth="1"/>
    <col min="2" max="2" width="16.28515625" customWidth="1"/>
    <col min="3" max="3" width="14" customWidth="1"/>
    <col min="4" max="4" width="20.28515625" customWidth="1"/>
    <col min="5" max="5" width="75.5703125" customWidth="1"/>
  </cols>
  <sheetData>
    <row r="1" spans="1:5" ht="24" customHeight="1" x14ac:dyDescent="0.25">
      <c r="A1" s="5" t="s">
        <v>67</v>
      </c>
      <c r="B1" s="5"/>
      <c r="C1" s="5"/>
      <c r="D1" s="5"/>
      <c r="E1" s="5"/>
    </row>
    <row r="2" spans="1:5" ht="30" customHeight="1" x14ac:dyDescent="0.25">
      <c r="A2" s="29"/>
      <c r="B2" s="29"/>
      <c r="C2" s="29"/>
      <c r="D2" s="29"/>
      <c r="E2" s="29"/>
    </row>
    <row r="4" spans="1:5" x14ac:dyDescent="0.25">
      <c r="A4" s="4" t="s">
        <v>68</v>
      </c>
      <c r="B4" s="4"/>
      <c r="C4" s="4"/>
      <c r="D4" s="4"/>
      <c r="E4" s="4"/>
    </row>
    <row r="5" spans="1:5" x14ac:dyDescent="0.25">
      <c r="A5" s="3" t="s">
        <v>69</v>
      </c>
      <c r="B5" s="3"/>
      <c r="C5" s="3"/>
      <c r="D5" s="3"/>
      <c r="E5" s="3"/>
    </row>
    <row r="6" spans="1:5" x14ac:dyDescent="0.25">
      <c r="A6" s="3" t="s">
        <v>70</v>
      </c>
      <c r="B6" s="3"/>
      <c r="C6" s="3"/>
      <c r="D6" s="3"/>
      <c r="E6" s="3"/>
    </row>
    <row r="7" spans="1:5" x14ac:dyDescent="0.25">
      <c r="A7" s="3" t="s">
        <v>71</v>
      </c>
      <c r="B7" s="3"/>
      <c r="C7" s="3"/>
      <c r="D7" s="3"/>
      <c r="E7" s="3"/>
    </row>
    <row r="9" spans="1:5" ht="30" x14ac:dyDescent="0.25">
      <c r="A9" s="6" t="s">
        <v>17</v>
      </c>
      <c r="B9" s="6" t="s">
        <v>18</v>
      </c>
      <c r="C9" s="6" t="s">
        <v>19</v>
      </c>
      <c r="D9" s="6" t="s">
        <v>20</v>
      </c>
      <c r="E9" s="6" t="s">
        <v>72</v>
      </c>
    </row>
    <row r="10" spans="1:5" x14ac:dyDescent="0.25">
      <c r="A10" s="19" t="s">
        <v>22</v>
      </c>
      <c r="B10" s="7">
        <v>120</v>
      </c>
      <c r="C10" s="7">
        <v>140</v>
      </c>
      <c r="D10" s="7">
        <v>145</v>
      </c>
      <c r="E10" s="27">
        <f t="shared" ref="E10:E18" si="0">MEDIAN(B10:D10)</f>
        <v>140</v>
      </c>
    </row>
    <row r="11" spans="1:5" x14ac:dyDescent="0.25">
      <c r="A11" s="19" t="s">
        <v>23</v>
      </c>
      <c r="B11" s="7">
        <v>145</v>
      </c>
      <c r="C11" s="7">
        <v>148</v>
      </c>
      <c r="D11" s="7">
        <v>150</v>
      </c>
      <c r="E11" s="27">
        <f t="shared" si="0"/>
        <v>148</v>
      </c>
    </row>
    <row r="12" spans="1:5" x14ac:dyDescent="0.25">
      <c r="A12" s="19" t="s">
        <v>24</v>
      </c>
      <c r="B12" s="7">
        <v>150</v>
      </c>
      <c r="C12" s="7">
        <v>150</v>
      </c>
      <c r="D12" s="7">
        <v>155</v>
      </c>
      <c r="E12" s="27">
        <f t="shared" si="0"/>
        <v>150</v>
      </c>
    </row>
    <row r="13" spans="1:5" x14ac:dyDescent="0.25">
      <c r="A13" s="19" t="s">
        <v>25</v>
      </c>
      <c r="B13" s="7">
        <v>155</v>
      </c>
      <c r="C13" s="7">
        <v>155</v>
      </c>
      <c r="D13" s="7">
        <v>155</v>
      </c>
      <c r="E13" s="27">
        <f t="shared" si="0"/>
        <v>155</v>
      </c>
    </row>
    <row r="14" spans="1:5" x14ac:dyDescent="0.25">
      <c r="A14" s="19" t="s">
        <v>26</v>
      </c>
      <c r="B14" s="7">
        <v>160</v>
      </c>
      <c r="C14" s="7">
        <v>160</v>
      </c>
      <c r="D14" s="7">
        <v>165</v>
      </c>
      <c r="E14" s="27">
        <f t="shared" si="0"/>
        <v>160</v>
      </c>
    </row>
    <row r="15" spans="1:5" x14ac:dyDescent="0.25">
      <c r="A15" s="19" t="s">
        <v>27</v>
      </c>
      <c r="B15" s="7">
        <v>170</v>
      </c>
      <c r="C15" s="7">
        <v>170</v>
      </c>
      <c r="D15" s="7">
        <v>175</v>
      </c>
      <c r="E15" s="27">
        <f t="shared" si="0"/>
        <v>170</v>
      </c>
    </row>
    <row r="16" spans="1:5" x14ac:dyDescent="0.25">
      <c r="A16" s="19" t="s">
        <v>28</v>
      </c>
      <c r="B16" s="7">
        <v>175</v>
      </c>
      <c r="C16" s="7">
        <v>175</v>
      </c>
      <c r="D16" s="7">
        <v>175</v>
      </c>
      <c r="E16" s="27">
        <f t="shared" si="0"/>
        <v>175</v>
      </c>
    </row>
    <row r="17" spans="1:5" x14ac:dyDescent="0.25">
      <c r="A17" s="19" t="s">
        <v>29</v>
      </c>
      <c r="B17" s="7">
        <v>180</v>
      </c>
      <c r="C17" s="7">
        <v>190</v>
      </c>
      <c r="D17" s="7">
        <v>200</v>
      </c>
      <c r="E17" s="27">
        <f t="shared" si="0"/>
        <v>190</v>
      </c>
    </row>
    <row r="18" spans="1:5" x14ac:dyDescent="0.25">
      <c r="A18" s="19" t="s">
        <v>30</v>
      </c>
      <c r="B18" s="7">
        <v>210</v>
      </c>
      <c r="C18" s="7">
        <v>230</v>
      </c>
      <c r="D18" s="7">
        <v>300</v>
      </c>
      <c r="E18" s="27">
        <f t="shared" si="0"/>
        <v>230</v>
      </c>
    </row>
    <row r="20" spans="1:5" x14ac:dyDescent="0.25">
      <c r="A20" s="4" t="s">
        <v>73</v>
      </c>
      <c r="B20" s="4"/>
      <c r="C20" s="4"/>
      <c r="D20" s="4"/>
      <c r="E20" s="4"/>
    </row>
    <row r="21" spans="1:5" x14ac:dyDescent="0.25">
      <c r="A21" s="22" t="s">
        <v>22</v>
      </c>
      <c r="B21" s="3" t="str">
        <f t="shared" ref="B21:B29" si="1">B10&amp;", "&amp;C10&amp;", "&amp;D10&amp;"  -&gt;  all become "&amp;TEXT(E10,"0")</f>
        <v>120, 140, 145  -&gt;  all become 140</v>
      </c>
      <c r="C21" s="3"/>
      <c r="D21" s="3"/>
      <c r="E21" s="3"/>
    </row>
    <row r="22" spans="1:5" x14ac:dyDescent="0.25">
      <c r="A22" s="22" t="s">
        <v>23</v>
      </c>
      <c r="B22" s="3" t="str">
        <f t="shared" si="1"/>
        <v>145, 148, 150  -&gt;  all become 148</v>
      </c>
      <c r="C22" s="3"/>
      <c r="D22" s="3"/>
      <c r="E22" s="3"/>
    </row>
    <row r="23" spans="1:5" x14ac:dyDescent="0.25">
      <c r="A23" s="22" t="s">
        <v>24</v>
      </c>
      <c r="B23" s="3" t="str">
        <f t="shared" si="1"/>
        <v>150, 150, 155  -&gt;  all become 150</v>
      </c>
      <c r="C23" s="3"/>
      <c r="D23" s="3"/>
      <c r="E23" s="3"/>
    </row>
    <row r="24" spans="1:5" x14ac:dyDescent="0.25">
      <c r="A24" s="22" t="s">
        <v>25</v>
      </c>
      <c r="B24" s="3" t="str">
        <f t="shared" si="1"/>
        <v>155, 155, 155  -&gt;  all become 155</v>
      </c>
      <c r="C24" s="3"/>
      <c r="D24" s="3"/>
      <c r="E24" s="3"/>
    </row>
    <row r="25" spans="1:5" x14ac:dyDescent="0.25">
      <c r="A25" s="22" t="s">
        <v>26</v>
      </c>
      <c r="B25" s="3" t="str">
        <f t="shared" si="1"/>
        <v>160, 160, 165  -&gt;  all become 160</v>
      </c>
      <c r="C25" s="3"/>
      <c r="D25" s="3"/>
      <c r="E25" s="3"/>
    </row>
    <row r="26" spans="1:5" x14ac:dyDescent="0.25">
      <c r="A26" s="22" t="s">
        <v>27</v>
      </c>
      <c r="B26" s="3" t="str">
        <f t="shared" si="1"/>
        <v>170, 170, 175  -&gt;  all become 170</v>
      </c>
      <c r="C26" s="3"/>
      <c r="D26" s="3"/>
      <c r="E26" s="3"/>
    </row>
    <row r="27" spans="1:5" x14ac:dyDescent="0.25">
      <c r="A27" s="22" t="s">
        <v>28</v>
      </c>
      <c r="B27" s="3" t="str">
        <f t="shared" si="1"/>
        <v>175, 175, 175  -&gt;  all become 175</v>
      </c>
      <c r="C27" s="3"/>
      <c r="D27" s="3"/>
      <c r="E27" s="3"/>
    </row>
    <row r="28" spans="1:5" x14ac:dyDescent="0.25">
      <c r="A28" s="22" t="s">
        <v>29</v>
      </c>
      <c r="B28" s="3" t="str">
        <f t="shared" si="1"/>
        <v>180, 190, 200  -&gt;  all become 190</v>
      </c>
      <c r="C28" s="3"/>
      <c r="D28" s="3"/>
      <c r="E28" s="3"/>
    </row>
    <row r="29" spans="1:5" x14ac:dyDescent="0.25">
      <c r="A29" s="22" t="s">
        <v>30</v>
      </c>
      <c r="B29" s="3" t="str">
        <f t="shared" si="1"/>
        <v>210, 230, 300  -&gt;  all become 230</v>
      </c>
      <c r="C29" s="3"/>
      <c r="D29" s="3"/>
      <c r="E29" s="3"/>
    </row>
  </sheetData>
  <mergeCells count="16">
    <mergeCell ref="B29:E29"/>
    <mergeCell ref="B24:E24"/>
    <mergeCell ref="B25:E25"/>
    <mergeCell ref="B26:E26"/>
    <mergeCell ref="B27:E27"/>
    <mergeCell ref="B28:E28"/>
    <mergeCell ref="A7:E7"/>
    <mergeCell ref="A20:E20"/>
    <mergeCell ref="B21:E21"/>
    <mergeCell ref="B22:E22"/>
    <mergeCell ref="B23:E23"/>
    <mergeCell ref="A1:E1"/>
    <mergeCell ref="A2:E2"/>
    <mergeCell ref="A4:E4"/>
    <mergeCell ref="A5:E5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tabSelected="1" zoomScaleNormal="100" workbookViewId="0">
      <selection activeCell="B25" sqref="B25"/>
    </sheetView>
  </sheetViews>
  <sheetFormatPr defaultColWidth="8.7109375" defaultRowHeight="15" x14ac:dyDescent="0.25"/>
  <cols>
    <col min="1" max="1" width="30.5703125" customWidth="1"/>
    <col min="2" max="2" width="34.140625" customWidth="1"/>
    <col min="3" max="3" width="21.5703125" customWidth="1"/>
    <col min="4" max="4" width="28.5703125" customWidth="1"/>
  </cols>
  <sheetData>
    <row r="1" spans="1:4" ht="24" customHeight="1" x14ac:dyDescent="0.25">
      <c r="A1" s="5" t="s">
        <v>74</v>
      </c>
      <c r="B1" s="5"/>
      <c r="C1" s="5"/>
      <c r="D1" s="5"/>
    </row>
    <row r="3" spans="1:4" ht="30" x14ac:dyDescent="0.25">
      <c r="A3" s="6" t="s">
        <v>1</v>
      </c>
      <c r="B3" s="6" t="s">
        <v>75</v>
      </c>
      <c r="C3" s="6" t="s">
        <v>76</v>
      </c>
      <c r="D3" s="6" t="s">
        <v>77</v>
      </c>
    </row>
    <row r="4" spans="1:4" x14ac:dyDescent="0.25">
      <c r="A4" s="7">
        <v>1</v>
      </c>
      <c r="B4" s="7">
        <v>18</v>
      </c>
      <c r="C4" s="26">
        <f t="shared" ref="C4:C13" si="0">ABS(B4-$C$15)</f>
        <v>15</v>
      </c>
      <c r="D4" s="17">
        <f>(B4-$C$15)/$C$16</f>
        <v>-1.7045454545454544</v>
      </c>
    </row>
    <row r="5" spans="1:4" x14ac:dyDescent="0.25">
      <c r="A5" s="7">
        <v>2</v>
      </c>
      <c r="B5" s="7">
        <v>22</v>
      </c>
      <c r="C5" s="26">
        <f t="shared" si="0"/>
        <v>11</v>
      </c>
      <c r="D5" s="17">
        <f>(B5-$C$15)/$C$16</f>
        <v>-1.25</v>
      </c>
    </row>
    <row r="6" spans="1:4" x14ac:dyDescent="0.25">
      <c r="A6" s="7">
        <v>3</v>
      </c>
      <c r="B6" s="7">
        <v>25</v>
      </c>
      <c r="C6" s="26">
        <f t="shared" si="0"/>
        <v>8</v>
      </c>
      <c r="D6" s="17">
        <f>(B6-$C$15)/$C$16</f>
        <v>-0.90909090909090906</v>
      </c>
    </row>
    <row r="7" spans="1:4" x14ac:dyDescent="0.25">
      <c r="A7" s="7">
        <v>4</v>
      </c>
      <c r="B7" s="7">
        <v>42</v>
      </c>
      <c r="C7" s="26">
        <f t="shared" si="0"/>
        <v>9</v>
      </c>
      <c r="D7" s="17">
        <f>(B7-$C$15)/$C$16</f>
        <v>1.0227272727272727</v>
      </c>
    </row>
    <row r="8" spans="1:4" x14ac:dyDescent="0.25">
      <c r="A8" s="7">
        <v>5</v>
      </c>
      <c r="B8" s="7">
        <v>28</v>
      </c>
      <c r="C8" s="26">
        <f t="shared" si="0"/>
        <v>5</v>
      </c>
      <c r="D8" s="7"/>
    </row>
    <row r="9" spans="1:4" x14ac:dyDescent="0.25">
      <c r="A9" s="7">
        <v>6</v>
      </c>
      <c r="B9" s="7">
        <v>43</v>
      </c>
      <c r="C9" s="26">
        <f t="shared" si="0"/>
        <v>10</v>
      </c>
      <c r="D9" s="7"/>
    </row>
    <row r="10" spans="1:4" x14ac:dyDescent="0.25">
      <c r="A10" s="7">
        <v>7</v>
      </c>
      <c r="B10" s="7">
        <v>33</v>
      </c>
      <c r="C10" s="26">
        <f t="shared" si="0"/>
        <v>0</v>
      </c>
      <c r="D10" s="7"/>
    </row>
    <row r="11" spans="1:4" x14ac:dyDescent="0.25">
      <c r="A11" s="7">
        <v>8</v>
      </c>
      <c r="B11" s="7">
        <v>35</v>
      </c>
      <c r="C11" s="26">
        <f t="shared" si="0"/>
        <v>2</v>
      </c>
      <c r="D11" s="7"/>
    </row>
    <row r="12" spans="1:4" x14ac:dyDescent="0.25">
      <c r="A12" s="7">
        <v>9</v>
      </c>
      <c r="B12" s="7">
        <v>56</v>
      </c>
      <c r="C12" s="26">
        <f t="shared" si="0"/>
        <v>23</v>
      </c>
      <c r="D12" s="7"/>
    </row>
    <row r="13" spans="1:4" x14ac:dyDescent="0.25">
      <c r="A13" s="7">
        <v>10</v>
      </c>
      <c r="B13" s="7">
        <v>28</v>
      </c>
      <c r="C13" s="26">
        <f t="shared" si="0"/>
        <v>5</v>
      </c>
      <c r="D13" s="7"/>
    </row>
    <row r="14" spans="1:4" x14ac:dyDescent="0.25">
      <c r="A14" s="12" t="s">
        <v>7</v>
      </c>
      <c r="B14" s="12">
        <f>SUM(B4:B13)</f>
        <v>330</v>
      </c>
      <c r="C14" s="13">
        <f>SUM(C4:C13)</f>
        <v>88</v>
      </c>
    </row>
    <row r="15" spans="1:4" x14ac:dyDescent="0.25">
      <c r="A15" s="4" t="s">
        <v>78</v>
      </c>
      <c r="B15" s="4"/>
      <c r="C15" s="20">
        <f>AVERAGE(B4:B13)</f>
        <v>33</v>
      </c>
    </row>
    <row r="16" spans="1:4" x14ac:dyDescent="0.25">
      <c r="A16" s="4" t="s">
        <v>79</v>
      </c>
      <c r="B16" s="4"/>
      <c r="C16" s="20">
        <f>C14/COUNT(B4:B13)</f>
        <v>8.8000000000000007</v>
      </c>
    </row>
    <row r="18" spans="1:4" ht="19.5" customHeight="1" x14ac:dyDescent="0.25">
      <c r="A18" s="4" t="s">
        <v>80</v>
      </c>
      <c r="B18" s="4"/>
      <c r="C18" s="4"/>
      <c r="D18" s="4"/>
    </row>
    <row r="20" spans="1:4" ht="30" customHeight="1" x14ac:dyDescent="0.25">
      <c r="A20" s="28"/>
      <c r="B20" s="28"/>
      <c r="C20" s="28"/>
      <c r="D20" s="28"/>
    </row>
  </sheetData>
  <mergeCells count="5">
    <mergeCell ref="A1:D1"/>
    <mergeCell ref="A15:B15"/>
    <mergeCell ref="A16:B16"/>
    <mergeCell ref="A18:D18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Q1_Covariance</vt:lpstr>
      <vt:lpstr>Q2_EquiFrequency_Binning</vt:lpstr>
      <vt:lpstr>Q3_EqualWidth_Binning</vt:lpstr>
      <vt:lpstr>Q4_BinMedians</vt:lpstr>
      <vt:lpstr>Q5_Standardization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Madesh p</cp:lastModifiedBy>
  <cp:revision>0</cp:revision>
  <dcterms:created xsi:type="dcterms:W3CDTF">2026-07-29T05:37:49Z</dcterms:created>
  <dcterms:modified xsi:type="dcterms:W3CDTF">2026-07-29T05:47:41Z</dcterms:modified>
  <dc:language>en-US</dc:language>
</cp:coreProperties>
</file>